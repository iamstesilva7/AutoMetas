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MODELO LOJA" sheetId="1" state="visible" r:id="rId1"/>
  </sheets>
  <definedNames/>
  <calcPr calcId="0" calcMode="auto" fullCalcOnLoad="1" calcCompleted="0" calcOnSave="1" forceFullCalc="1"/>
</workbook>
</file>

<file path=xl/styles.xml><?xml version="1.0" encoding="utf-8"?>
<styleSheet xmlns="http://schemas.openxmlformats.org/spreadsheetml/2006/main">
  <numFmts count="4">
    <numFmt numFmtId="164" formatCode="_-&quot;R$&quot;\ * #,##0_-;\-&quot;R$&quot;\ * #,##0_-;_-&quot;R$&quot;\ * &quot;-&quot;??_-;_-@_-"/>
    <numFmt numFmtId="165" formatCode="00\-0"/>
    <numFmt numFmtId="166" formatCode="[$-F800]dddd\,\ mmmm\ dd\,\ yyyy"/>
    <numFmt numFmtId="167" formatCode="&quot;R$&quot;\ #,##0.00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badi"/>
      <family val="2"/>
      <b val="1"/>
      <color theme="0"/>
      <sz val="16"/>
    </font>
    <font>
      <name val="Calibri"/>
      <family val="2"/>
      <color theme="1"/>
      <sz val="10"/>
      <scheme val="minor"/>
    </font>
    <font>
      <name val="Abadi"/>
      <family val="2"/>
      <b val="1"/>
      <color theme="0"/>
      <sz val="9"/>
    </font>
    <font>
      <name val="Calibri"/>
      <family val="2"/>
      <b val="1"/>
      <color theme="1"/>
      <sz val="10"/>
      <scheme val="minor"/>
    </font>
    <font>
      <name val="Abadi"/>
      <family val="2"/>
      <b val="1"/>
      <color theme="0"/>
      <sz val="8"/>
    </font>
  </fonts>
  <fills count="8">
    <fill>
      <patternFill/>
    </fill>
    <fill>
      <patternFill patternType="gray125"/>
    </fill>
    <fill>
      <patternFill patternType="solid">
        <fgColor rgb="FF009CA8"/>
        <bgColor indexed="64"/>
      </patternFill>
    </fill>
    <fill>
      <patternFill patternType="solid">
        <fgColor rgb="FFFF7900"/>
        <bgColor indexed="64"/>
      </patternFill>
    </fill>
    <fill>
      <patternFill patternType="solid">
        <fgColor rgb="FF00C3D2"/>
        <bgColor indexed="64"/>
      </patternFill>
    </fill>
    <fill>
      <patternFill patternType="solid">
        <fgColor rgb="FFFF9B3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</borders>
  <cellStyleXfs count="2">
    <xf numFmtId="0" fontId="1" fillId="0" borderId="0"/>
    <xf numFmtId="9" fontId="1" fillId="0" borderId="0"/>
  </cellStyleXfs>
  <cellXfs count="44">
    <xf numFmtId="0" fontId="0" fillId="0" borderId="0" pivotButton="0" quotePrefix="0" xfId="0"/>
    <xf numFmtId="164" fontId="0" fillId="0" borderId="0" pivotButton="0" quotePrefix="0" xfId="0"/>
    <xf numFmtId="165" fontId="2" fillId="2" borderId="0" applyAlignment="1" pivotButton="0" quotePrefix="0" xfId="0">
      <alignment horizontal="centerContinuous" vertical="justify"/>
    </xf>
    <xf numFmtId="0" fontId="2" fillId="2" borderId="0" applyAlignment="1" pivotButton="0" quotePrefix="0" xfId="0">
      <alignment horizontal="centerContinuous" vertical="justify"/>
    </xf>
    <xf numFmtId="0" fontId="3" fillId="0" borderId="0" pivotButton="0" quotePrefix="0" xfId="0"/>
    <xf numFmtId="0" fontId="2" fillId="3" borderId="0" applyAlignment="1" pivotButton="0" quotePrefix="0" xfId="0">
      <alignment horizontal="centerContinuous" vertical="justify"/>
    </xf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166" fontId="3" fillId="6" borderId="1" pivotButton="0" quotePrefix="0" xfId="0"/>
    <xf numFmtId="167" fontId="3" fillId="6" borderId="1" applyAlignment="1" pivotButton="0" quotePrefix="0" xfId="0">
      <alignment horizontal="center"/>
    </xf>
    <xf numFmtId="167" fontId="3" fillId="7" borderId="1" applyAlignment="1" pivotButton="0" quotePrefix="0" xfId="0">
      <alignment horizontal="center"/>
    </xf>
    <xf numFmtId="10" fontId="3" fillId="7" borderId="1" applyAlignment="1" pivotButton="0" quotePrefix="0" xfId="0">
      <alignment horizontal="center"/>
    </xf>
    <xf numFmtId="9" fontId="3" fillId="7" borderId="1" applyAlignment="1" pivotButton="0" quotePrefix="0" xfId="1">
      <alignment horizontal="center"/>
    </xf>
    <xf numFmtId="167" fontId="3" fillId="0" borderId="0" applyAlignment="1" pivotButton="0" quotePrefix="0" xfId="1">
      <alignment horizontal="center"/>
    </xf>
    <xf numFmtId="167" fontId="3" fillId="7" borderId="1" pivotButton="0" quotePrefix="0" xfId="0"/>
    <xf numFmtId="10" fontId="3" fillId="7" borderId="1" applyAlignment="1" pivotButton="0" quotePrefix="0" xfId="1">
      <alignment horizontal="center"/>
    </xf>
    <xf numFmtId="0" fontId="6" fillId="2" borderId="1" applyAlignment="1" pivotButton="0" quotePrefix="0" xfId="0">
      <alignment horizontal="right"/>
    </xf>
    <xf numFmtId="167" fontId="6" fillId="2" borderId="1" applyAlignment="1" pivotButton="0" quotePrefix="0" xfId="0">
      <alignment horizontal="center"/>
    </xf>
    <xf numFmtId="167" fontId="4" fillId="3" borderId="0" applyAlignment="1" pivotButton="0" quotePrefix="0" xfId="0">
      <alignment horizontal="center"/>
    </xf>
    <xf numFmtId="10" fontId="4" fillId="3" borderId="0" applyAlignment="1" pivotButton="0" quotePrefix="0" xfId="1">
      <alignment horizontal="center"/>
    </xf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167" fontId="3" fillId="6" borderId="1" applyAlignment="1" pivotButton="0" quotePrefix="0" xfId="0">
      <alignment horizontal="center" vertical="center" wrapText="1"/>
    </xf>
    <xf numFmtId="167" fontId="3" fillId="7" borderId="1" applyAlignment="1" pivotButton="0" quotePrefix="0" xfId="0">
      <alignment horizontal="center" vertical="center" wrapText="1"/>
    </xf>
    <xf numFmtId="10" fontId="3" fillId="7" borderId="1" applyAlignment="1" pivotButton="0" quotePrefix="0" xfId="0">
      <alignment horizontal="center" vertical="center" wrapText="1"/>
    </xf>
    <xf numFmtId="9" fontId="3" fillId="7" borderId="1" applyAlignment="1" pivotButton="0" quotePrefix="0" xfId="1">
      <alignment horizontal="center" vertical="center" wrapText="1"/>
    </xf>
    <xf numFmtId="167" fontId="3" fillId="0" borderId="0" applyAlignment="1" pivotButton="0" quotePrefix="0" xfId="1">
      <alignment horizontal="center" vertical="center" wrapText="1"/>
    </xf>
    <xf numFmtId="10" fontId="3" fillId="7" borderId="1" applyAlignment="1" pivotButton="0" quotePrefix="0" xfId="1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center" vertical="center" wrapText="1"/>
    </xf>
    <xf numFmtId="167" fontId="4" fillId="3" borderId="0" applyAlignment="1" pivotButton="0" quotePrefix="0" xfId="0">
      <alignment horizontal="center" vertical="center" wrapText="1"/>
    </xf>
    <xf numFmtId="10" fontId="4" fillId="3" borderId="0" applyAlignment="1" pivotButton="0" quotePrefix="0" xfId="1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Porcentagem" xfId="1" builtinId="5"/>
  </cellStyles>
  <dxfs count="2">
    <dxf>
      <font>
        <b val="1"/>
        <color rgb="FF0000FF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46132</colOff>
      <row>1</row>
      <rowOff>38100</rowOff>
    </from>
    <to>
      <col>9</col>
      <colOff>657223</colOff>
      <row>1</row>
      <rowOff>228599</rowOff>
    </to>
    <pic>
      <nvPicPr>
        <cNvPr id="3" name="Imagem 2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8682132" y="57150"/>
          <a:ext cx="611091" cy="190499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5</col>
      <colOff>47625</colOff>
      <row>1</row>
      <rowOff>64371</rowOff>
    </from>
    <to>
      <col>5</col>
      <colOff>714373</colOff>
      <row>1</row>
      <rowOff>217057</rowOff>
    </to>
    <pic>
      <nvPicPr>
        <cNvPr id="4" name="Imagem 3" descr="Cobasi Logo – PNG e Vetor – Download de Log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508625" y="83421"/>
          <a:ext cx="666748" cy="152686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Planilha2">
    <outlinePr summaryBelow="1" summaryRight="1"/>
    <pageSetUpPr/>
  </sheetPr>
  <dimension ref="A1:O38"/>
  <sheetViews>
    <sheetView showGridLines="0" tabSelected="1" zoomScale="80" zoomScaleNormal="80" workbookViewId="0">
      <selection activeCell="B14" sqref="B14"/>
    </sheetView>
  </sheetViews>
  <sheetFormatPr baseColWidth="8" defaultColWidth="0" defaultRowHeight="12" customHeight="1" zeroHeight="1"/>
  <cols>
    <col width="0.54296875" customWidth="1" min="1" max="1"/>
    <col width="35" bestFit="1" customWidth="1" min="2" max="2"/>
    <col width="18.7265625" customWidth="1" style="1" min="3" max="4"/>
    <col width="5.1796875" customWidth="1" min="5" max="5"/>
    <col width="18.7265625" customWidth="1" min="6" max="6"/>
    <col width="11" customWidth="1" min="7" max="7"/>
    <col width="12.54296875" bestFit="1" customWidth="1" min="8" max="8"/>
    <col width="3.1796875" customWidth="1" min="9" max="9"/>
    <col width="18.7265625" customWidth="1" min="10" max="10"/>
    <col width="10.54296875" customWidth="1" min="11" max="11"/>
    <col width="12.54296875" bestFit="1" customWidth="1" min="12" max="12"/>
    <col width="0.7265625" customWidth="1" min="13" max="13"/>
    <col hidden="1" width="9.1796875" customWidth="1" min="14" max="23"/>
    <col hidden="1" min="24" max="25"/>
    <col hidden="1" width="9.1796875" customWidth="1" min="26" max="16384"/>
  </cols>
  <sheetData>
    <row r="1" ht="1.5" customHeight="1">
      <c r="B1" s="24" t="n"/>
      <c r="C1" s="24" t="n"/>
      <c r="D1" s="24" t="n"/>
      <c r="E1" s="24" t="n"/>
      <c r="F1" s="24" t="n"/>
      <c r="G1" s="24" t="n"/>
      <c r="H1" s="24" t="n"/>
      <c r="I1" s="24" t="n"/>
      <c r="J1" s="24" t="n">
        <v>0</v>
      </c>
      <c r="K1" s="24" t="n"/>
    </row>
    <row r="2" ht="19.5" customHeight="1"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</row>
    <row r="3" ht="26.25" customFormat="1" customHeight="1" s="4">
      <c r="B3" s="25" t="inlineStr">
        <is>
          <t>0027 - 002 - OSASCO</t>
        </is>
      </c>
      <c r="C3" s="26" t="n"/>
      <c r="D3" s="26" t="n"/>
      <c r="E3" s="24" t="n"/>
      <c r="F3" s="27" t="inlineStr">
        <is>
          <t>LOJA</t>
        </is>
      </c>
      <c r="G3" s="27" t="n"/>
      <c r="H3" s="27" t="n"/>
      <c r="I3" s="24" t="n"/>
      <c r="J3" s="27" t="inlineStr">
        <is>
          <t>SERVIÇOS</t>
        </is>
      </c>
      <c r="K3" s="27" t="n"/>
      <c r="L3" s="5" t="n"/>
    </row>
    <row r="4" ht="12" customFormat="1" customHeight="1" s="4">
      <c r="B4" s="28" t="inlineStr">
        <is>
          <t>META DIÁRIA</t>
        </is>
      </c>
      <c r="C4" s="29" t="inlineStr">
        <is>
          <t>LOJA</t>
        </is>
      </c>
      <c r="D4" s="29" t="inlineStr">
        <is>
          <t>SERVIÇO</t>
        </is>
      </c>
      <c r="E4" s="24" t="n"/>
      <c r="F4" s="30" t="inlineStr">
        <is>
          <t>REALIZADO</t>
        </is>
      </c>
      <c r="G4" s="30" t="inlineStr">
        <is>
          <t xml:space="preserve">% R / M </t>
        </is>
      </c>
      <c r="H4" s="30" t="inlineStr">
        <is>
          <t>ACUMULADO</t>
        </is>
      </c>
      <c r="I4" s="24" t="n"/>
      <c r="J4" s="30" t="inlineStr">
        <is>
          <t>REALIZADO</t>
        </is>
      </c>
      <c r="K4" s="30" t="inlineStr">
        <is>
          <t xml:space="preserve">% R / M </t>
        </is>
      </c>
      <c r="L4" s="8" t="inlineStr">
        <is>
          <t>ACUMULADO</t>
        </is>
      </c>
    </row>
    <row r="5" ht="12" customFormat="1" customHeight="1" s="4">
      <c r="B5" s="31" t="inlineStr">
        <is>
          <t>sábado, 1 de agosto de 2026.</t>
        </is>
      </c>
      <c r="C5" s="32" t="n">
        <v>197450.2099392777</v>
      </c>
      <c r="D5" s="32" t="n">
        <v>9306.152047575413</v>
      </c>
      <c r="E5" s="24" t="n"/>
      <c r="F5" s="33" t="n"/>
      <c r="G5" s="34">
        <f>IFERROR(F5/C5,0)</f>
        <v/>
      </c>
      <c r="H5" s="35">
        <f>IFERROR(SUM(F$5:F5)/SUM(C$5:C5),0)</f>
        <v/>
      </c>
      <c r="I5" s="36" t="n"/>
      <c r="J5" s="33" t="n"/>
      <c r="K5" s="37">
        <f>IFERROR(J5/D5,0)</f>
        <v/>
      </c>
      <c r="L5" s="13">
        <f>IFERROR(SUM(J$5:J5)/SUM(D$5:D5),0)</f>
        <v/>
      </c>
    </row>
    <row r="6" ht="12" customFormat="1" customHeight="1" s="4">
      <c r="B6" s="31" t="inlineStr">
        <is>
          <t>domingo, 2 de agosto de 2026.</t>
        </is>
      </c>
      <c r="C6" s="32" t="n">
        <v>174388.1102562237</v>
      </c>
      <c r="D6" s="32" t="n">
        <v>4653.076023787707</v>
      </c>
      <c r="E6" s="24" t="n"/>
      <c r="F6" s="33" t="n"/>
      <c r="G6" s="34">
        <f>IFERROR(F6/C6,0)</f>
        <v/>
      </c>
      <c r="H6" s="35">
        <f>IFERROR(SUM(F$5:F6)/SUM(C$5:C6),0)</f>
        <v/>
      </c>
      <c r="I6" s="36" t="n"/>
      <c r="J6" s="33" t="n"/>
      <c r="K6" s="37">
        <f>IFERROR(J6/D6,0)</f>
        <v/>
      </c>
      <c r="L6" s="13">
        <f>IFERROR(SUM(J$5:J6)/SUM(D$5:D6),0)</f>
        <v/>
      </c>
    </row>
    <row r="7" ht="12" customFormat="1" customHeight="1" s="4">
      <c r="B7" s="31" t="inlineStr">
        <is>
          <t>segunda-feira, 3 de agosto de 2026.</t>
        </is>
      </c>
      <c r="C7" s="32" t="n">
        <v>136821.8322695985</v>
      </c>
      <c r="D7" s="32" t="n">
        <v>4474.111561334334</v>
      </c>
      <c r="E7" s="24" t="n"/>
      <c r="F7" s="33" t="n"/>
      <c r="G7" s="34">
        <f>IFERROR(F7/C7,0)</f>
        <v/>
      </c>
      <c r="H7" s="35">
        <f>IFERROR(SUM(F$5:F7)/SUM(C$5:C7),0)</f>
        <v/>
      </c>
      <c r="I7" s="24" t="n"/>
      <c r="J7" s="33" t="n"/>
      <c r="K7" s="37">
        <f>IFERROR(J7/D7,0)</f>
        <v/>
      </c>
      <c r="L7" s="13">
        <f>IFERROR(SUM(J$5:J7)/SUM(D$5:D7),0)</f>
        <v/>
      </c>
      <c r="O7" s="4" t="inlineStr">
        <is>
          <t>;</t>
        </is>
      </c>
    </row>
    <row r="8" ht="12" customFormat="1" customHeight="1" s="4">
      <c r="B8" s="31" t="inlineStr">
        <is>
          <t>terça-feira, 4 de agosto de 2026.</t>
        </is>
      </c>
      <c r="C8" s="32" t="n">
        <v>134248.7341569246</v>
      </c>
      <c r="D8" s="32" t="n">
        <v>3884.127815497353</v>
      </c>
      <c r="E8" s="24" t="n"/>
      <c r="F8" s="33" t="n"/>
      <c r="G8" s="34">
        <f>IFERROR(F8/C8,0)</f>
        <v/>
      </c>
      <c r="H8" s="35">
        <f>IFERROR(SUM(F$5:F8)/SUM(C$5:C8),0)</f>
        <v/>
      </c>
      <c r="I8" s="24" t="n"/>
      <c r="J8" s="33" t="n"/>
      <c r="K8" s="37">
        <f>IFERROR(J8/D8,0)</f>
        <v/>
      </c>
      <c r="L8" s="13">
        <f>IFERROR(SUM(J$5:J8)/SUM(D$5:D8),0)</f>
        <v/>
      </c>
    </row>
    <row r="9" ht="12" customFormat="1" customHeight="1" s="4">
      <c r="B9" s="31" t="inlineStr">
        <is>
          <t>quarta-feira, 5 de agosto de 2026.</t>
        </is>
      </c>
      <c r="C9" s="32" t="n">
        <v>135875.91000124</v>
      </c>
      <c r="D9" s="32" t="n">
        <v>4295.14709888096</v>
      </c>
      <c r="E9" s="24" t="n"/>
      <c r="F9" s="33" t="n"/>
      <c r="G9" s="34">
        <f>IFERROR(F9/C9,0)</f>
        <v/>
      </c>
      <c r="H9" s="35">
        <f>IFERROR(SUM(F$5:F9)/SUM(C$5:C9),0)</f>
        <v/>
      </c>
      <c r="I9" s="24" t="n"/>
      <c r="J9" s="33" t="n"/>
      <c r="K9" s="37">
        <f>IFERROR(J9/D9,0)</f>
        <v/>
      </c>
      <c r="L9" s="13">
        <f>IFERROR(SUM(J$5:J9)/SUM(D$5:D9),0)</f>
        <v/>
      </c>
    </row>
    <row r="10" ht="12" customFormat="1" customHeight="1" s="4">
      <c r="B10" s="31" t="inlineStr">
        <is>
          <t>quinta-feira, 6 de agosto de 2026.</t>
        </is>
      </c>
      <c r="C10" s="32" t="n">
        <v>148166.7176958698</v>
      </c>
      <c r="D10" s="32" t="n">
        <v>5929.222176274395</v>
      </c>
      <c r="E10" s="24" t="n"/>
      <c r="F10" s="33" t="n"/>
      <c r="G10" s="34">
        <f>IFERROR(F10/C10,0)</f>
        <v/>
      </c>
      <c r="H10" s="35">
        <f>IFERROR(SUM(F$5:F10)/SUM(C$5:C10),0)</f>
        <v/>
      </c>
      <c r="I10" s="24" t="n"/>
      <c r="J10" s="33" t="n"/>
      <c r="K10" s="37">
        <f>IFERROR(J10/D10,0)</f>
        <v/>
      </c>
      <c r="L10" s="13">
        <f>IFERROR(SUM(J$5:J10)/SUM(D$5:D10),0)</f>
        <v/>
      </c>
    </row>
    <row r="11" ht="12" customFormat="1" customHeight="1" s="4">
      <c r="B11" s="31" t="inlineStr">
        <is>
          <t>sexta-feira, 7 de agosto de 2026.</t>
        </is>
      </c>
      <c r="C11" s="32" t="n">
        <v>153974.6664632011</v>
      </c>
      <c r="D11" s="32" t="n">
        <v>7041.90127766421</v>
      </c>
      <c r="E11" s="24" t="n"/>
      <c r="F11" s="33" t="n"/>
      <c r="G11" s="34">
        <f>IFERROR(F11/C11,0)</f>
        <v/>
      </c>
      <c r="H11" s="35">
        <f>IFERROR(SUM(F$5:F11)/SUM(C$5:C11),0)</f>
        <v/>
      </c>
      <c r="I11" s="24" t="n"/>
      <c r="J11" s="33" t="n"/>
      <c r="K11" s="37">
        <f>IFERROR(J11/D11,0)</f>
        <v/>
      </c>
      <c r="L11" s="13">
        <f>IFERROR(SUM(J$5:J11)/SUM(D$5:D11),0)</f>
        <v/>
      </c>
    </row>
    <row r="12" ht="12" customFormat="1" customHeight="1" s="4">
      <c r="B12" s="31" t="inlineStr">
        <is>
          <t>sábado, 8 de agosto de 2026.</t>
        </is>
      </c>
      <c r="C12" s="32" t="n">
        <v>217195.2309332055</v>
      </c>
      <c r="D12" s="32" t="n">
        <v>9485.116510028785</v>
      </c>
      <c r="E12" s="24" t="n"/>
      <c r="F12" s="33" t="n"/>
      <c r="G12" s="34">
        <f>IFERROR(F12/C12,0)</f>
        <v/>
      </c>
      <c r="H12" s="35">
        <f>IFERROR(SUM(F$5:F12)/SUM(C$5:C12),0)</f>
        <v/>
      </c>
      <c r="I12" s="24" t="n"/>
      <c r="J12" s="33" t="n"/>
      <c r="K12" s="37">
        <f>IFERROR(J12/D12,0)</f>
        <v/>
      </c>
      <c r="L12" s="13">
        <f>IFERROR(SUM(J$5:J12)/SUM(D$5:D12),0)</f>
        <v/>
      </c>
    </row>
    <row r="13" ht="12" customFormat="1" customHeight="1" s="4">
      <c r="B13" s="31" t="inlineStr">
        <is>
          <t>domingo, 9 de agosto de 2026.</t>
        </is>
      </c>
      <c r="C13" s="32" t="n">
        <v>171760.5894442107</v>
      </c>
      <c r="D13" s="32" t="n">
        <v>4474.111561334334</v>
      </c>
      <c r="E13" s="24" t="n"/>
      <c r="F13" s="33" t="n"/>
      <c r="G13" s="34">
        <f>IFERROR(F13/C13,0)</f>
        <v/>
      </c>
      <c r="H13" s="35">
        <f>IFERROR(SUM(F$5:F13)/SUM(C$5:C13),0)</f>
        <v/>
      </c>
      <c r="I13" s="24" t="n"/>
      <c r="J13" s="33" t="n"/>
      <c r="K13" s="37">
        <f>IFERROR(J13/D13,0)</f>
        <v/>
      </c>
      <c r="L13" s="13">
        <f>IFERROR(SUM(J$5:J13)/SUM(D$5:D13),0)</f>
        <v/>
      </c>
    </row>
    <row r="14" ht="12" customFormat="1" customHeight="1" s="4">
      <c r="B14" s="31" t="inlineStr">
        <is>
          <t>segunda-feira, 10 de agosto de 2026.</t>
        </is>
      </c>
      <c r="C14" s="32" t="n">
        <v>131939.0586343647</v>
      </c>
      <c r="D14" s="32" t="n">
        <v>4384.629330107647</v>
      </c>
      <c r="E14" s="24" t="n"/>
      <c r="F14" s="33" t="n"/>
      <c r="G14" s="34">
        <f>IFERROR(F14/C14,0)</f>
        <v/>
      </c>
      <c r="H14" s="35">
        <f>IFERROR(SUM(F$5:F14)/SUM(C$5:C14),0)</f>
        <v/>
      </c>
      <c r="I14" s="24" t="n"/>
      <c r="J14" s="33" t="n"/>
      <c r="K14" s="37">
        <f>IFERROR(J14/D14,0)</f>
        <v/>
      </c>
      <c r="L14" s="13">
        <f>IFERROR(SUM(J$5:J14)/SUM(D$5:D14),0)</f>
        <v/>
      </c>
    </row>
    <row r="15" ht="12" customFormat="1" customHeight="1" s="4">
      <c r="B15" s="31" t="inlineStr">
        <is>
          <t>terça-feira, 11 de agosto de 2026.</t>
        </is>
      </c>
      <c r="C15" s="32" t="n">
        <v>127960.6299213436</v>
      </c>
      <c r="D15" s="32" t="n">
        <v>3998.630527637375</v>
      </c>
      <c r="E15" s="24" t="n"/>
      <c r="F15" s="33" t="n"/>
      <c r="G15" s="34">
        <f>IFERROR(F15/C15,0)</f>
        <v/>
      </c>
      <c r="H15" s="35">
        <f>IFERROR(SUM(F$5:F15)/SUM(C$5:C15),0)</f>
        <v/>
      </c>
      <c r="I15" s="24" t="n"/>
      <c r="J15" s="33" t="n"/>
      <c r="K15" s="37">
        <f>IFERROR(J15/D15,0)</f>
        <v/>
      </c>
      <c r="L15" s="13">
        <f>IFERROR(SUM(J$5:J15)/SUM(D$5:D15),0)</f>
        <v/>
      </c>
    </row>
    <row r="16" ht="12" customFormat="1" customHeight="1" s="4">
      <c r="B16" s="31" t="inlineStr">
        <is>
          <t>quarta-feira, 12 de agosto de 2026.</t>
        </is>
      </c>
      <c r="C16" s="32" t="n">
        <v>125035.2102168491</v>
      </c>
      <c r="D16" s="32" t="n">
        <v>4295.14709888096</v>
      </c>
      <c r="E16" s="24" t="n"/>
      <c r="F16" s="33" t="n"/>
      <c r="G16" s="34">
        <f>IFERROR(F16/C16,0)</f>
        <v/>
      </c>
      <c r="H16" s="35">
        <f>IFERROR(SUM(F$5:F16)/SUM(C$5:C16),0)</f>
        <v/>
      </c>
      <c r="I16" s="24" t="n"/>
      <c r="J16" s="33" t="n"/>
      <c r="K16" s="37">
        <f>IFERROR(J16/D16,0)</f>
        <v/>
      </c>
      <c r="L16" s="13">
        <f>IFERROR(SUM(J$5:J16)/SUM(D$5:D16),0)</f>
        <v/>
      </c>
    </row>
    <row r="17" ht="12" customFormat="1" customHeight="1" s="4">
      <c r="B17" s="31" t="inlineStr">
        <is>
          <t>quinta-feira, 13 de agosto de 2026.</t>
        </is>
      </c>
      <c r="C17" s="32" t="n">
        <v>134105.5915298546</v>
      </c>
      <c r="D17" s="32" t="n">
        <v>4688.868916278381</v>
      </c>
      <c r="E17" s="24" t="n"/>
      <c r="F17" s="33" t="n"/>
      <c r="G17" s="34">
        <f>IFERROR(F17/C17,0)</f>
        <v/>
      </c>
      <c r="H17" s="35">
        <f>IFERROR(SUM(F$5:F17)/SUM(C$5:C17),0)</f>
        <v/>
      </c>
      <c r="I17" s="24" t="n"/>
      <c r="J17" s="33" t="n"/>
      <c r="K17" s="37">
        <f>IFERROR(J17/D17,0)</f>
        <v/>
      </c>
      <c r="L17" s="13">
        <f>IFERROR(SUM(J$5:J17)/SUM(D$5:D17),0)</f>
        <v/>
      </c>
    </row>
    <row r="18" ht="12" customFormat="1" customHeight="1" s="4">
      <c r="B18" s="31" t="inlineStr">
        <is>
          <t>sexta-feira, 14 de agosto de 2026.</t>
        </is>
      </c>
      <c r="C18" s="32" t="n">
        <v>142630.1779375979</v>
      </c>
      <c r="D18" s="32" t="n">
        <v>6084.791723414693</v>
      </c>
      <c r="E18" s="24" t="n"/>
      <c r="F18" s="33" t="n"/>
      <c r="G18" s="34">
        <f>IFERROR(F18/C18,0)</f>
        <v/>
      </c>
      <c r="H18" s="35">
        <f>IFERROR(SUM(F$5:F18)/SUM(C$5:C18),0)</f>
        <v/>
      </c>
      <c r="I18" s="24" t="n"/>
      <c r="J18" s="33" t="n"/>
      <c r="K18" s="37">
        <f>IFERROR(J18/D18,0)</f>
        <v/>
      </c>
      <c r="L18" s="13">
        <f>IFERROR(SUM(J$5:J18)/SUM(D$5:D18),0)</f>
        <v/>
      </c>
    </row>
    <row r="19" ht="12" customFormat="1" customHeight="1" s="4">
      <c r="B19" s="31" t="inlineStr">
        <is>
          <t>sábado, 15 de agosto de 2026.</t>
        </is>
      </c>
      <c r="C19" s="32" t="n">
        <v>192387.3840433989</v>
      </c>
      <c r="D19" s="32" t="n">
        <v>9127.187585122039</v>
      </c>
      <c r="E19" s="24" t="n"/>
      <c r="F19" s="33" t="n"/>
      <c r="G19" s="34">
        <f>IFERROR(F19/C19,0)</f>
        <v/>
      </c>
      <c r="H19" s="35">
        <f>IFERROR(SUM(F$5:F19)/SUM(C$5:C19),0)</f>
        <v/>
      </c>
      <c r="I19" s="24" t="n"/>
      <c r="J19" s="33" t="n"/>
      <c r="K19" s="37">
        <f>IFERROR(J19/D19,0)</f>
        <v/>
      </c>
      <c r="L19" s="13">
        <f>IFERROR(SUM(J$5:J19)/SUM(D$5:D19),0)</f>
        <v/>
      </c>
    </row>
    <row r="20" ht="12" customFormat="1" customHeight="1" s="4">
      <c r="B20" s="31" t="inlineStr">
        <is>
          <t>domingo, 16 de agosto de 2026.</t>
        </is>
      </c>
      <c r="C20" s="32" t="n">
        <v>165556.1193637282</v>
      </c>
      <c r="D20" s="32" t="n">
        <v>4474.111561334334</v>
      </c>
      <c r="E20" s="24" t="n"/>
      <c r="F20" s="33" t="n"/>
      <c r="G20" s="34">
        <f>IFERROR(F20/C20,0)</f>
        <v/>
      </c>
      <c r="H20" s="35">
        <f>IFERROR(SUM(F$5:F20)/SUM(C$5:C20),0)</f>
        <v/>
      </c>
      <c r="I20" s="24" t="n"/>
      <c r="J20" s="33" t="n"/>
      <c r="K20" s="37">
        <f>IFERROR(J20/D20,0)</f>
        <v/>
      </c>
      <c r="L20" s="13">
        <f>IFERROR(SUM(J$5:J20)/SUM(D$5:D20),0)</f>
        <v/>
      </c>
    </row>
    <row r="21" ht="12" customFormat="1" customHeight="1" s="4">
      <c r="B21" s="31" t="inlineStr">
        <is>
          <t>segunda-feira, 17 de agosto de 2026.</t>
        </is>
      </c>
      <c r="C21" s="32" t="n">
        <v>127750.5170904167</v>
      </c>
      <c r="D21" s="32" t="n">
        <v>4187.516043208835</v>
      </c>
      <c r="E21" s="24" t="n"/>
      <c r="F21" s="33" t="n"/>
      <c r="G21" s="34">
        <f>IFERROR(F21/C21,0)</f>
        <v/>
      </c>
      <c r="H21" s="35">
        <f>IFERROR(SUM(F$5:F21)/SUM(C$5:C21),0)</f>
        <v/>
      </c>
      <c r="I21" s="24" t="n"/>
      <c r="J21" s="33" t="n"/>
      <c r="K21" s="37">
        <f>IFERROR(J21/D21,0)</f>
        <v/>
      </c>
      <c r="L21" s="13">
        <f>IFERROR(SUM(J$5:J21)/SUM(D$5:D21),0)</f>
        <v/>
      </c>
    </row>
    <row r="22" ht="12" customFormat="1" customHeight="1" s="4">
      <c r="B22" s="31" t="inlineStr">
        <is>
          <t>terça-feira, 18 de agosto de 2026.</t>
        </is>
      </c>
      <c r="C22" s="32" t="n">
        <v>120038.0319843412</v>
      </c>
      <c r="D22" s="32" t="n">
        <v>3942.008587389504</v>
      </c>
      <c r="E22" s="24" t="n"/>
      <c r="F22" s="33" t="n"/>
      <c r="G22" s="34">
        <f>IFERROR(F22/C22,0)</f>
        <v/>
      </c>
      <c r="H22" s="35">
        <f>IFERROR(SUM(F$5:F22)/SUM(C$5:C22),0)</f>
        <v/>
      </c>
      <c r="I22" s="24" t="n"/>
      <c r="J22" s="33" t="n"/>
      <c r="K22" s="37">
        <f>IFERROR(J22/D22,0)</f>
        <v/>
      </c>
      <c r="L22" s="13">
        <f>IFERROR(SUM(J$5:J22)/SUM(D$5:D22),0)</f>
        <v/>
      </c>
    </row>
    <row r="23" ht="12" customFormat="1" customHeight="1" s="4">
      <c r="B23" s="31" t="inlineStr">
        <is>
          <t>quarta-feira, 19 de agosto de 2026.</t>
        </is>
      </c>
      <c r="C23" s="32" t="n">
        <v>120701.5069613736</v>
      </c>
      <c r="D23" s="32" t="n">
        <v>4140.142415277239</v>
      </c>
      <c r="E23" s="24" t="n"/>
      <c r="F23" s="33" t="n"/>
      <c r="G23" s="34">
        <f>IFERROR(F23/C23,0)</f>
        <v/>
      </c>
      <c r="H23" s="35">
        <f>IFERROR(SUM(F$5:F23)/SUM(C$5:C23),0)</f>
        <v/>
      </c>
      <c r="I23" s="24" t="n"/>
      <c r="J23" s="33" t="n"/>
      <c r="K23" s="37">
        <f>IFERROR(J23/D23,0)</f>
        <v/>
      </c>
      <c r="L23" s="13">
        <f>IFERROR(SUM(J$5:J23)/SUM(D$5:D23),0)</f>
        <v/>
      </c>
    </row>
    <row r="24" ht="12" customFormat="1" customHeight="1" s="4">
      <c r="B24" s="31" t="inlineStr">
        <is>
          <t>quinta-feira, 20 de agosto de 2026.</t>
        </is>
      </c>
      <c r="C24" s="32" t="n">
        <v>130501.0719066288</v>
      </c>
      <c r="D24" s="32" t="n">
        <v>5627.065662889134</v>
      </c>
      <c r="E24" s="24" t="n"/>
      <c r="F24" s="33" t="n"/>
      <c r="G24" s="34">
        <f>IFERROR(F24/C24,0)</f>
        <v/>
      </c>
      <c r="H24" s="35">
        <f>IFERROR(SUM(F$5:F24)/SUM(C$5:C24),0)</f>
        <v/>
      </c>
      <c r="I24" s="24" t="n"/>
      <c r="J24" s="33" t="n"/>
      <c r="K24" s="37">
        <f>IFERROR(J24/D24,0)</f>
        <v/>
      </c>
      <c r="L24" s="13">
        <f>IFERROR(SUM(J$5:J24)/SUM(D$5:D24),0)</f>
        <v/>
      </c>
    </row>
    <row r="25" ht="12" customFormat="1" customHeight="1" s="4">
      <c r="B25" s="31" t="inlineStr">
        <is>
          <t>sexta-feira, 21 de agosto de 2026.</t>
        </is>
      </c>
      <c r="C25" s="32" t="n">
        <v>136712.7672792652</v>
      </c>
      <c r="D25" s="32" t="n">
        <v>7056.063378698353</v>
      </c>
      <c r="E25" s="24" t="n"/>
      <c r="F25" s="33" t="n"/>
      <c r="G25" s="34">
        <f>IFERROR(F25/C25,0)</f>
        <v/>
      </c>
      <c r="H25" s="35">
        <f>IFERROR(SUM(F$5:F25)/SUM(C$5:C25),0)</f>
        <v/>
      </c>
      <c r="I25" s="24" t="n"/>
      <c r="J25" s="33" t="n"/>
      <c r="K25" s="37">
        <f>IFERROR(J25/D25,0)</f>
        <v/>
      </c>
      <c r="L25" s="13">
        <f>IFERROR(SUM(J$5:J25)/SUM(D$5:D25),0)</f>
        <v/>
      </c>
    </row>
    <row r="26" ht="12" customFormat="1" customHeight="1" s="4">
      <c r="B26" s="31" t="inlineStr">
        <is>
          <t>sábado, 22 de agosto de 2026.</t>
        </is>
      </c>
      <c r="C26" s="32" t="n">
        <v>189855.9710954593</v>
      </c>
      <c r="D26" s="32" t="n">
        <v>9266.28750428455</v>
      </c>
      <c r="E26" s="24" t="n"/>
      <c r="F26" s="33" t="n"/>
      <c r="G26" s="34">
        <f>IFERROR(F26/C26,0)</f>
        <v/>
      </c>
      <c r="H26" s="35">
        <f>IFERROR(SUM(F$5:F26)/SUM(C$5:C26),0)</f>
        <v/>
      </c>
      <c r="I26" s="24" t="n"/>
      <c r="J26" s="33" t="n"/>
      <c r="K26" s="37">
        <f>IFERROR(J26/D26,0)</f>
        <v/>
      </c>
      <c r="L26" s="13">
        <f>IFERROR(SUM(J$5:J26)/SUM(D$5:D26),0)</f>
        <v/>
      </c>
    </row>
    <row r="27" ht="12" customFormat="1" customHeight="1" s="4">
      <c r="B27" s="31" t="inlineStr">
        <is>
          <t>domingo, 23 de agosto de 2026.</t>
        </is>
      </c>
      <c r="C27" s="32" t="n">
        <v>156574.4397677408</v>
      </c>
      <c r="D27" s="32" t="n">
        <v>4474.111561334334</v>
      </c>
      <c r="E27" s="24" t="n"/>
      <c r="F27" s="33" t="n"/>
      <c r="G27" s="34">
        <f>IFERROR(F27/C27,0)</f>
        <v/>
      </c>
      <c r="H27" s="35">
        <f>IFERROR(SUM(F$5:F27)/SUM(C$5:C27),0)</f>
        <v/>
      </c>
      <c r="I27" s="24" t="n"/>
      <c r="J27" s="33" t="n"/>
      <c r="K27" s="37">
        <f>IFERROR(J27/D27,0)</f>
        <v/>
      </c>
      <c r="L27" s="13">
        <f>IFERROR(SUM(J$5:J27)/SUM(D$5:D27),0)</f>
        <v/>
      </c>
    </row>
    <row r="28" ht="12" customFormat="1" customHeight="1" s="4">
      <c r="B28" s="31" t="inlineStr">
        <is>
          <t>segunda-feira, 24 de agosto de 2026.</t>
        </is>
      </c>
      <c r="C28" s="32" t="n">
        <v>122615.4671111587</v>
      </c>
      <c r="D28" s="32" t="n">
        <v>4001.935573293623</v>
      </c>
      <c r="E28" s="24" t="n"/>
      <c r="F28" s="33" t="n"/>
      <c r="G28" s="34">
        <f>IFERROR(F28/C28,0)</f>
        <v/>
      </c>
      <c r="H28" s="35">
        <f>IFERROR(SUM(F$5:F28)/SUM(C$5:C28),0)</f>
        <v/>
      </c>
      <c r="I28" s="24" t="n"/>
      <c r="J28" s="33" t="n"/>
      <c r="K28" s="37">
        <f>IFERROR(J28/D28,0)</f>
        <v/>
      </c>
      <c r="L28" s="13">
        <f>IFERROR(SUM(J$5:J28)/SUM(D$5:D28),0)</f>
        <v/>
      </c>
    </row>
    <row r="29" ht="12" customFormat="1" customHeight="1" s="4">
      <c r="B29" s="31" t="inlineStr">
        <is>
          <t>terça-feira, 25 de agosto de 2026.</t>
        </is>
      </c>
      <c r="C29" s="32" t="n">
        <v>121129.699089848</v>
      </c>
      <c r="D29" s="32" t="n">
        <v>3689.12162719713</v>
      </c>
      <c r="E29" s="24" t="n"/>
      <c r="F29" s="33" t="n"/>
      <c r="G29" s="34">
        <f>IFERROR(F29/C29,0)</f>
        <v/>
      </c>
      <c r="H29" s="35">
        <f>IFERROR(SUM(F$5:F29)/SUM(C$5:C29),0)</f>
        <v/>
      </c>
      <c r="I29" s="24" t="n"/>
      <c r="J29" s="33" t="n"/>
      <c r="K29" s="37">
        <f>IFERROR(J29/D29,0)</f>
        <v/>
      </c>
      <c r="L29" s="13">
        <f>IFERROR(SUM(J$5:J29)/SUM(D$5:D29),0)</f>
        <v/>
      </c>
    </row>
    <row r="30" ht="12" customFormat="1" customHeight="1" s="4">
      <c r="B30" s="31" t="inlineStr">
        <is>
          <t>quarta-feira, 26 de agosto de 2026.</t>
        </is>
      </c>
      <c r="C30" s="32" t="n">
        <v>118187.2848972928</v>
      </c>
      <c r="D30" s="32" t="n">
        <v>4259.63406051047</v>
      </c>
      <c r="E30" s="24" t="n"/>
      <c r="F30" s="33" t="n"/>
      <c r="G30" s="34">
        <f>IFERROR(F30/C30,0)</f>
        <v/>
      </c>
      <c r="H30" s="35">
        <f>IFERROR(SUM(F$5:F30)/SUM(C$5:C30),0)</f>
        <v/>
      </c>
      <c r="I30" s="24" t="n"/>
      <c r="J30" s="33" t="n"/>
      <c r="K30" s="37">
        <f>IFERROR(J30/D30,0)</f>
        <v/>
      </c>
      <c r="L30" s="13">
        <f>IFERROR(SUM(J$5:J30)/SUM(D$5:D30),0)</f>
        <v/>
      </c>
    </row>
    <row r="31" ht="12" customFormat="1" customHeight="1" s="4">
      <c r="B31" s="31" t="inlineStr">
        <is>
          <t>quinta-feira, 27 de agosto de 2026.</t>
        </is>
      </c>
      <c r="C31" s="32" t="n">
        <v>130371.7824756292</v>
      </c>
      <c r="D31" s="32" t="n">
        <v>5241.841943285885</v>
      </c>
      <c r="E31" s="24" t="n"/>
      <c r="F31" s="33" t="n"/>
      <c r="G31" s="34">
        <f>IFERROR(F31/C31,0)</f>
        <v/>
      </c>
      <c r="H31" s="35">
        <f>IFERROR(SUM(F$5:F31)/SUM(C$5:C31),0)</f>
        <v/>
      </c>
      <c r="I31" s="24" t="n"/>
      <c r="J31" s="33" t="n"/>
      <c r="K31" s="37">
        <f>IFERROR(J31/D31,0)</f>
        <v/>
      </c>
      <c r="L31" s="13">
        <f>IFERROR(SUM(J$5:J31)/SUM(D$5:D31),0)</f>
        <v/>
      </c>
    </row>
    <row r="32" ht="12" customFormat="1" customHeight="1" s="4">
      <c r="B32" s="31" t="inlineStr">
        <is>
          <t>sexta-feira, 28 de agosto de 2026.</t>
        </is>
      </c>
      <c r="C32" s="32" t="n">
        <v>140955.8199102904</v>
      </c>
      <c r="D32" s="32" t="n">
        <v>5905.82726096132</v>
      </c>
      <c r="E32" s="24" t="n"/>
      <c r="F32" s="33" t="n"/>
      <c r="G32" s="34">
        <f>IFERROR(F32/C32,0)</f>
        <v/>
      </c>
      <c r="H32" s="35">
        <f>IFERROR(SUM(F$5:F32)/SUM(C$5:C32),0)</f>
        <v/>
      </c>
      <c r="I32" s="24" t="n"/>
      <c r="J32" s="33" t="n"/>
      <c r="K32" s="37">
        <f>IFERROR(J32/D32,0)</f>
        <v/>
      </c>
      <c r="L32" s="13">
        <f>IFERROR(SUM(J$5:J32)/SUM(D$5:D32),0)</f>
        <v/>
      </c>
    </row>
    <row r="33" ht="12" customFormat="1" customHeight="1" s="4">
      <c r="B33" s="31" t="inlineStr">
        <is>
          <t>sábado, 29 de agosto de 2026.</t>
        </is>
      </c>
      <c r="C33" s="32" t="n">
        <v>194918.7969913383</v>
      </c>
      <c r="D33" s="32" t="n">
        <v>8232.365272855173</v>
      </c>
      <c r="E33" s="24" t="n"/>
      <c r="F33" s="33" t="n"/>
      <c r="G33" s="34">
        <f>IFERROR(F33/C33,0)</f>
        <v/>
      </c>
      <c r="H33" s="35">
        <f>IFERROR(SUM(F$5:F33)/SUM(C$5:C33),0)</f>
        <v/>
      </c>
      <c r="I33" s="24" t="n"/>
      <c r="J33" s="33" t="n"/>
      <c r="K33" s="37">
        <f>IFERROR(J33/D33,0)</f>
        <v/>
      </c>
      <c r="L33" s="13">
        <f>IFERROR(SUM(J$5:J33)/SUM(D$5:D33),0)</f>
        <v/>
      </c>
    </row>
    <row r="34" ht="12" customFormat="1" customHeight="1" s="4">
      <c r="B34" s="31" t="inlineStr">
        <is>
          <t>domingo, 30 de agosto de 2026.</t>
        </is>
      </c>
      <c r="C34" s="32" t="n">
        <v>169415.8269304474</v>
      </c>
      <c r="D34" s="32" t="n">
        <v>3758.25371152084</v>
      </c>
      <c r="E34" s="24" t="n"/>
      <c r="F34" s="33" t="n"/>
      <c r="G34" s="34">
        <f>IFERROR(F34/C34,0)</f>
        <v/>
      </c>
      <c r="H34" s="35">
        <f>IFERROR(SUM(F$5:F34)/SUM(C$5:C34),0)</f>
        <v/>
      </c>
      <c r="I34" s="24" t="n"/>
      <c r="J34" s="33" t="n"/>
      <c r="K34" s="37">
        <f>IFERROR(J34/D34,0)</f>
        <v/>
      </c>
      <c r="L34" s="13">
        <f>IFERROR(SUM(J$5:J34)/SUM(D$5:D34),0)</f>
        <v/>
      </c>
    </row>
    <row r="35" ht="12" customFormat="1" customHeight="1" s="4">
      <c r="B35" s="31" t="inlineStr">
        <is>
          <t>segunda-feira, 31 de agosto de 2026.</t>
        </is>
      </c>
      <c r="C35" s="32" t="n">
        <v>126912.8087816271</v>
      </c>
      <c r="D35" s="32" t="n">
        <v>3758.25371152084</v>
      </c>
      <c r="E35" s="24" t="n"/>
      <c r="F35" s="33" t="n"/>
      <c r="G35" s="34">
        <f>IFERROR(F35/C35,0)</f>
        <v/>
      </c>
      <c r="H35" s="35">
        <f>IFERROR(SUM(F$5:F35)/SUM(C$5:C35),0)</f>
        <v/>
      </c>
      <c r="I35" s="24" t="n"/>
      <c r="J35" s="33" t="n"/>
      <c r="K35" s="37">
        <f>IFERROR(J35/D35,0)</f>
        <v/>
      </c>
      <c r="L35" s="13">
        <f>IFERROR(SUM(J$5:J35)/SUM(D$5:D35),0)</f>
        <v/>
      </c>
    </row>
    <row r="36" ht="12" customFormat="1" customHeight="1" s="4">
      <c r="B36" s="38" t="inlineStr">
        <is>
          <t xml:space="preserve">VALOR TOTAL </t>
        </is>
      </c>
      <c r="C36" s="39" t="n">
        <v>4596137.965079746</v>
      </c>
      <c r="D36" s="39" t="n">
        <v>168136.7611293801</v>
      </c>
      <c r="E36" s="24" t="n"/>
      <c r="F36" s="40">
        <f>SUM(F5:F35)</f>
        <v/>
      </c>
      <c r="G36" s="41">
        <f>IFERROR(F36/C36,0)</f>
        <v/>
      </c>
      <c r="H36" s="42" t="n"/>
      <c r="I36" s="43" t="n"/>
      <c r="J36" s="40">
        <f>SUM(J5:J35)</f>
        <v/>
      </c>
      <c r="K36" s="41">
        <f>IFERROR(J36/D36,0)</f>
        <v/>
      </c>
      <c r="L36" s="23" t="n"/>
    </row>
    <row r="37" ht="12" customFormat="1" customHeight="1" s="4"/>
    <row r="38" ht="12" customFormat="1" customHeight="1" s="4">
      <c r="C38" s="1" t="n"/>
      <c r="D38" s="1" t="n"/>
    </row>
    <row r="39" ht="12" customHeight="1"/>
  </sheetData>
  <conditionalFormatting sqref="G5:H35 K5:L35">
    <cfRule type="cellIs" priority="1" operator="lessThan" dxfId="1">
      <formula>1</formula>
    </cfRule>
    <cfRule type="cellIs" priority="2" operator="greaterThan" dxfId="0">
      <formula>1</formula>
    </cfRule>
  </conditionalFormatting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Keite Helen De Souza</dc:creator>
  <dcterms:created xsi:type="dcterms:W3CDTF">2026-07-31T17:41:45Z</dcterms:created>
  <dcterms:modified xsi:type="dcterms:W3CDTF">2026-08-29T11:25:12Z</dcterms:modified>
  <cp:lastModifiedBy>Stephanie Pereira da Silva</cp:lastModifiedBy>
</cp:coreProperties>
</file>